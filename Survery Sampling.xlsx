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uRaj\Downloads\"/>
    </mc:Choice>
  </mc:AlternateContent>
  <xr:revisionPtr revIDLastSave="0" documentId="8_{F1D04C46-9B66-49F4-954A-D68B2580F53A}" xr6:coauthVersionLast="47" xr6:coauthVersionMax="47" xr10:uidLastSave="{00000000-0000-0000-0000-000000000000}"/>
  <bookViews>
    <workbookView xWindow="-108" yWindow="-108" windowWidth="23256" windowHeight="12456" activeTab="6" xr2:uid="{4C168178-07E0-4690-A2D2-68237DD0E9EF}"/>
  </bookViews>
  <sheets>
    <sheet name="Sheet1" sheetId="1" r:id="rId1"/>
    <sheet name="Sheet2" sheetId="2" r:id="rId2"/>
    <sheet name="2 Factorial" sheetId="3" r:id="rId3"/>
    <sheet name="Sheet4" sheetId="4" r:id="rId4"/>
    <sheet name="Question1" sheetId="5" r:id="rId5"/>
    <sheet name="QUESTION2" sheetId="6" r:id="rId6"/>
    <sheet name=" Two Facto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5" l="1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39" i="5"/>
  <c r="J56" i="5"/>
  <c r="J57" i="5"/>
  <c r="J58" i="5"/>
  <c r="J55" i="5"/>
  <c r="J54" i="5"/>
  <c r="J52" i="5"/>
  <c r="J53" i="5"/>
  <c r="J51" i="5"/>
  <c r="J50" i="5"/>
  <c r="J49" i="5"/>
  <c r="J47" i="5"/>
  <c r="J48" i="5"/>
  <c r="J45" i="5"/>
  <c r="J46" i="5"/>
  <c r="J44" i="5"/>
  <c r="J43" i="5"/>
  <c r="J40" i="5"/>
  <c r="J41" i="5"/>
  <c r="J42" i="5"/>
  <c r="J39" i="5"/>
  <c r="O19" i="5"/>
</calcChain>
</file>

<file path=xl/sharedStrings.xml><?xml version="1.0" encoding="utf-8"?>
<sst xmlns="http://schemas.openxmlformats.org/spreadsheetml/2006/main" count="283" uniqueCount="69">
  <si>
    <t>D</t>
  </si>
  <si>
    <t>E</t>
  </si>
  <si>
    <t>B</t>
  </si>
  <si>
    <t>A</t>
  </si>
  <si>
    <t>C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</si>
  <si>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</si>
  <si>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</si>
  <si>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</si>
  <si>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</si>
  <si>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</si>
  <si>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</si>
  <si>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</si>
  <si>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</si>
  <si>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</si>
  <si>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</si>
  <si>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</si>
  <si>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</si>
  <si>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</si>
  <si>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</si>
  <si>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</si>
  <si>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</si>
  <si>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</si>
  <si>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</si>
  <si>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Material</t>
  </si>
  <si>
    <t>Temperature</t>
  </si>
  <si>
    <t>Anova: Two-Factor With Replication</t>
  </si>
  <si>
    <t>Sample</t>
  </si>
  <si>
    <t>Columns</t>
  </si>
  <si>
    <t>Interaction</t>
  </si>
  <si>
    <t>Within</t>
  </si>
  <si>
    <t>RPM</t>
  </si>
  <si>
    <t>SetOrder</t>
  </si>
  <si>
    <t>Factor(A)</t>
  </si>
  <si>
    <t>Factor(B)</t>
  </si>
  <si>
    <t>A*B</t>
  </si>
  <si>
    <t>Combi</t>
  </si>
  <si>
    <t>R1</t>
  </si>
  <si>
    <t>R2</t>
  </si>
  <si>
    <t>R3</t>
  </si>
  <si>
    <t>a</t>
  </si>
  <si>
    <t>b</t>
  </si>
  <si>
    <t>(ab)</t>
  </si>
  <si>
    <t xml:space="preserve">Population </t>
  </si>
  <si>
    <t xml:space="preserve">Result Interpetation </t>
  </si>
  <si>
    <t xml:space="preserve">If pvalue &gt;0.05 then Accept H(0) difference </t>
  </si>
  <si>
    <t xml:space="preserve">If pvalue &lt;0.05 then Reject H(0) difference </t>
  </si>
  <si>
    <t xml:space="preserve">so 0.002&lt;0.05 the Null hypothesis is rejected </t>
  </si>
  <si>
    <t xml:space="preserve">Means Fertilizer are different </t>
  </si>
  <si>
    <t>Dem</t>
  </si>
  <si>
    <t>Table</t>
  </si>
  <si>
    <t>Plan i</t>
  </si>
  <si>
    <t xml:space="preserve">Plan j </t>
  </si>
  <si>
    <t>Mean Diff</t>
  </si>
  <si>
    <t>T-Value</t>
  </si>
  <si>
    <t>Result</t>
  </si>
  <si>
    <t>Continuous small grain</t>
  </si>
  <si>
    <t>Alternate small shell</t>
  </si>
  <si>
    <t>Small grain manure</t>
  </si>
  <si>
    <t>small rain peas</t>
  </si>
  <si>
    <t>Variance Ratio</t>
  </si>
  <si>
    <t xml:space="preserve">Since P-value is 0.06&gt;0.05 hence , null hypothesis is accepted </t>
  </si>
  <si>
    <t>To analyze the data using ANOVA and test whether there is a significant difference between treatments.</t>
  </si>
  <si>
    <t>C1</t>
  </si>
  <si>
    <t>C2</t>
  </si>
  <si>
    <t>C3</t>
  </si>
  <si>
    <t>R4</t>
  </si>
  <si>
    <t>Anova: Two-Factor Without Replication</t>
  </si>
  <si>
    <t>Rows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</si>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</sst>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0" fillId="2" borderId="5" xfId="0" applyFill="1" applyBorder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4" borderId="0" xfId="0" applyFill="1"/>
    <xf numFmtId="0" fontId="2" fillId="5" borderId="3" xfId="0" applyFont="1" applyFill="1" applyBorder="1" applyAlignment="1">
      <alignment horizontal="center"/>
    </xf>
    <xf numFmtId="0" fontId="0" fillId="3" borderId="0" xfId="0" applyFill="1"/>
    <xf numFmtId="0" fontId="8" fillId="3" borderId="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5F8F-1569-404A-BC0B-2FE530FB9233}">
  <dimension ref="A1:M24"/>
  <sheetViews>
    <sheetView workbookViewId="0">
      <selection activeCell="M6" sqref="M6"/>
    </sheetView>
  </sheetViews>
  <sheetFormatPr defaultRowHeight="14.4" x14ac:dyDescent="0.3"/>
  <cols>
    <col min="7" max="7" width="18.33203125" bestFit="1" customWidth="1"/>
    <col min="8" max="8" width="7" bestFit="1" customWidth="1"/>
    <col min="9" max="9" width="5.109375" bestFit="1" customWidth="1"/>
    <col min="10" max="10" width="8.33203125" bestFit="1" customWidth="1"/>
    <col min="11" max="11" width="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0</v>
      </c>
      <c r="G1" s="2" t="s">
        <v>3</v>
      </c>
      <c r="H1" s="2" t="s">
        <v>2</v>
      </c>
      <c r="I1" s="2" t="s">
        <v>4</v>
      </c>
      <c r="J1" s="2" t="s">
        <v>0</v>
      </c>
      <c r="K1" s="2" t="s">
        <v>1</v>
      </c>
    </row>
    <row r="2" spans="1:11" x14ac:dyDescent="0.3">
      <c r="A2" s="1">
        <v>20</v>
      </c>
      <c r="B2" s="1">
        <v>17</v>
      </c>
      <c r="C2" s="1">
        <v>21</v>
      </c>
      <c r="D2" s="1">
        <v>16</v>
      </c>
      <c r="E2" s="1">
        <v>15</v>
      </c>
      <c r="G2" s="1">
        <v>8</v>
      </c>
      <c r="H2" s="1">
        <v>21</v>
      </c>
      <c r="I2" s="1">
        <v>17</v>
      </c>
      <c r="J2" s="1">
        <v>20</v>
      </c>
      <c r="K2" s="1">
        <v>16</v>
      </c>
    </row>
    <row r="3" spans="1:11" x14ac:dyDescent="0.3">
      <c r="A3" s="1" t="s">
        <v>3</v>
      </c>
      <c r="B3" s="1" t="s">
        <v>4</v>
      </c>
      <c r="C3" s="1" t="s">
        <v>3</v>
      </c>
      <c r="D3" s="1" t="s">
        <v>0</v>
      </c>
      <c r="E3" s="1" t="s">
        <v>2</v>
      </c>
      <c r="G3" s="1">
        <v>9</v>
      </c>
      <c r="H3" s="1">
        <v>17</v>
      </c>
      <c r="I3" s="1">
        <v>18</v>
      </c>
      <c r="J3" s="1">
        <v>15</v>
      </c>
      <c r="K3" s="1">
        <v>17</v>
      </c>
    </row>
    <row r="4" spans="1:11" x14ac:dyDescent="0.3">
      <c r="A4" s="1">
        <v>8</v>
      </c>
      <c r="B4" s="1">
        <v>17</v>
      </c>
      <c r="C4" s="1">
        <v>9</v>
      </c>
      <c r="D4" s="1">
        <v>13</v>
      </c>
      <c r="E4" s="1">
        <v>17</v>
      </c>
      <c r="G4" s="1">
        <v>15</v>
      </c>
      <c r="H4" s="1">
        <v>12</v>
      </c>
      <c r="I4" s="1">
        <v>16</v>
      </c>
      <c r="J4" s="1">
        <v>13</v>
      </c>
      <c r="K4" s="1">
        <v>18</v>
      </c>
    </row>
    <row r="5" spans="1:11" x14ac:dyDescent="0.3">
      <c r="A5" s="1" t="s">
        <v>2</v>
      </c>
      <c r="B5" s="1" t="s">
        <v>0</v>
      </c>
      <c r="C5" s="1" t="s">
        <v>1</v>
      </c>
      <c r="D5" s="1" t="s">
        <v>4</v>
      </c>
      <c r="E5" s="1" t="s">
        <v>3</v>
      </c>
      <c r="G5" s="1">
        <v>8</v>
      </c>
      <c r="H5" s="1">
        <v>16</v>
      </c>
      <c r="I5" s="1">
        <v>18</v>
      </c>
      <c r="J5" s="1">
        <v>19</v>
      </c>
      <c r="K5" s="1">
        <v>15</v>
      </c>
    </row>
    <row r="6" spans="1:11" x14ac:dyDescent="0.3">
      <c r="A6" s="1">
        <v>12</v>
      </c>
      <c r="B6" s="1">
        <v>19</v>
      </c>
      <c r="C6" s="1">
        <v>18</v>
      </c>
      <c r="D6" s="1">
        <v>18</v>
      </c>
      <c r="E6" s="1">
        <v>15</v>
      </c>
      <c r="G6" s="1">
        <v>10</v>
      </c>
      <c r="H6" s="1">
        <v>14</v>
      </c>
      <c r="I6" s="1">
        <v>19</v>
      </c>
      <c r="J6" s="1">
        <v>23</v>
      </c>
      <c r="K6" s="1">
        <v>13</v>
      </c>
    </row>
    <row r="7" spans="1:11" x14ac:dyDescent="0.3">
      <c r="A7" s="1" t="s">
        <v>4</v>
      </c>
      <c r="B7" s="1" t="s">
        <v>3</v>
      </c>
      <c r="C7" s="1" t="s">
        <v>4</v>
      </c>
      <c r="D7" s="1" t="s">
        <v>3</v>
      </c>
      <c r="E7" s="1" t="s">
        <v>1</v>
      </c>
    </row>
    <row r="8" spans="1:11" x14ac:dyDescent="0.3">
      <c r="A8" s="1">
        <v>16</v>
      </c>
      <c r="B8" s="1">
        <v>8</v>
      </c>
      <c r="C8" s="1">
        <v>18</v>
      </c>
      <c r="D8" s="1">
        <v>10</v>
      </c>
      <c r="E8" s="1">
        <v>15</v>
      </c>
      <c r="G8" s="5" t="s">
        <v>5</v>
      </c>
    </row>
    <row r="9" spans="1:11" x14ac:dyDescent="0.3">
      <c r="A9" s="1" t="s">
        <v>1</v>
      </c>
      <c r="B9" s="1" t="s">
        <v>2</v>
      </c>
      <c r="C9" s="1" t="s">
        <v>0</v>
      </c>
      <c r="D9" s="1" t="s">
        <v>2</v>
      </c>
      <c r="E9" s="1" t="s">
        <v>4</v>
      </c>
    </row>
    <row r="10" spans="1:11" ht="15" thickBot="1" x14ac:dyDescent="0.35">
      <c r="A10" s="1">
        <v>13</v>
      </c>
      <c r="B10" s="1">
        <v>16</v>
      </c>
      <c r="C10" s="1">
        <v>23</v>
      </c>
      <c r="D10" s="1">
        <v>14</v>
      </c>
      <c r="E10" s="1">
        <v>19</v>
      </c>
      <c r="G10" t="s">
        <v>6</v>
      </c>
    </row>
    <row r="11" spans="1:11" x14ac:dyDescent="0.3">
      <c r="G11" s="4" t="s">
        <v>7</v>
      </c>
      <c r="H11" s="4" t="s">
        <v>8</v>
      </c>
      <c r="I11" s="4" t="s">
        <v>9</v>
      </c>
      <c r="J11" s="4" t="s">
        <v>10</v>
      </c>
      <c r="K11" s="4" t="s">
        <v>11</v>
      </c>
    </row>
    <row r="12" spans="1:11" x14ac:dyDescent="0.3">
      <c r="G12" t="s">
        <v>3</v>
      </c>
      <c r="H12">
        <v>5</v>
      </c>
      <c r="I12">
        <v>50</v>
      </c>
      <c r="J12">
        <v>10</v>
      </c>
      <c r="K12">
        <v>8.5</v>
      </c>
    </row>
    <row r="13" spans="1:11" x14ac:dyDescent="0.3">
      <c r="G13" t="s">
        <v>2</v>
      </c>
      <c r="H13">
        <v>5</v>
      </c>
      <c r="I13">
        <v>80</v>
      </c>
      <c r="J13">
        <v>16</v>
      </c>
      <c r="K13">
        <v>11.5</v>
      </c>
    </row>
    <row r="14" spans="1:11" x14ac:dyDescent="0.3">
      <c r="G14" t="s">
        <v>4</v>
      </c>
      <c r="H14">
        <v>5</v>
      </c>
      <c r="I14">
        <v>88</v>
      </c>
      <c r="J14">
        <v>17.600000000000001</v>
      </c>
      <c r="K14">
        <v>1.2999999999999998</v>
      </c>
    </row>
    <row r="15" spans="1:11" x14ac:dyDescent="0.3">
      <c r="G15" t="s">
        <v>0</v>
      </c>
      <c r="H15">
        <v>5</v>
      </c>
      <c r="I15">
        <v>90</v>
      </c>
      <c r="J15">
        <v>18</v>
      </c>
      <c r="K15">
        <v>16</v>
      </c>
    </row>
    <row r="16" spans="1:11" ht="15" thickBot="1" x14ac:dyDescent="0.35">
      <c r="G16" s="3" t="s">
        <v>1</v>
      </c>
      <c r="H16" s="3">
        <v>5</v>
      </c>
      <c r="I16" s="3">
        <v>79</v>
      </c>
      <c r="J16" s="3">
        <v>15.8</v>
      </c>
      <c r="K16" s="3">
        <v>3.6999999999999886</v>
      </c>
    </row>
    <row r="19" spans="7:13" ht="15" thickBot="1" x14ac:dyDescent="0.35">
      <c r="G19" t="s">
        <v>12</v>
      </c>
    </row>
    <row r="20" spans="7:13" x14ac:dyDescent="0.3">
      <c r="G20" s="4" t="s">
        <v>13</v>
      </c>
      <c r="H20" s="4" t="s">
        <v>14</v>
      </c>
      <c r="I20" s="4" t="s">
        <v>15</v>
      </c>
      <c r="J20" s="4" t="s">
        <v>16</v>
      </c>
      <c r="K20" s="4" t="s">
        <v>17</v>
      </c>
      <c r="L20" s="4" t="s">
        <v>18</v>
      </c>
      <c r="M20" s="4" t="s">
        <v>19</v>
      </c>
    </row>
    <row r="21" spans="7:13" x14ac:dyDescent="0.3">
      <c r="G21" t="s">
        <v>20</v>
      </c>
      <c r="H21">
        <v>206.2399999999999</v>
      </c>
      <c r="I21">
        <v>4</v>
      </c>
      <c r="J21">
        <v>51.559999999999974</v>
      </c>
      <c r="K21">
        <v>6.2878048780487781</v>
      </c>
      <c r="L21">
        <v>1.9107312831215845E-3</v>
      </c>
      <c r="M21">
        <v>2.8660814020156589</v>
      </c>
    </row>
    <row r="22" spans="7:13" x14ac:dyDescent="0.3">
      <c r="G22" t="s">
        <v>21</v>
      </c>
      <c r="H22">
        <v>164</v>
      </c>
      <c r="I22">
        <v>20</v>
      </c>
      <c r="J22">
        <v>8.1999999999999993</v>
      </c>
    </row>
    <row r="24" spans="7:13" ht="15" thickBot="1" x14ac:dyDescent="0.35">
      <c r="G24" s="3" t="s">
        <v>22</v>
      </c>
      <c r="H24" s="3">
        <v>370.2399999999999</v>
      </c>
      <c r="I24" s="3">
        <v>24</v>
      </c>
      <c r="J24" s="3"/>
      <c r="K24" s="3"/>
      <c r="L24" s="3"/>
      <c r="M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7DEA-3CF1-48C4-87B7-DA2C72311146}">
  <dimension ref="B2:H52"/>
  <sheetViews>
    <sheetView topLeftCell="A38" workbookViewId="0">
      <selection activeCell="H16" sqref="H16"/>
    </sheetView>
  </sheetViews>
  <sheetFormatPr defaultRowHeight="14.4" x14ac:dyDescent="0.3"/>
  <sheetData>
    <row r="2" spans="2:5" x14ac:dyDescent="0.3">
      <c r="B2" s="6"/>
      <c r="C2" s="39" t="s">
        <v>24</v>
      </c>
      <c r="D2" s="40"/>
      <c r="E2" s="40"/>
    </row>
    <row r="3" spans="2:5" x14ac:dyDescent="0.3">
      <c r="B3" s="7" t="s">
        <v>23</v>
      </c>
      <c r="C3" s="7">
        <v>-10</v>
      </c>
      <c r="D3" s="7">
        <v>20</v>
      </c>
      <c r="E3" s="7">
        <v>50</v>
      </c>
    </row>
    <row r="4" spans="2:5" x14ac:dyDescent="0.3">
      <c r="B4" s="39">
        <v>1</v>
      </c>
      <c r="C4" s="6">
        <v>130</v>
      </c>
      <c r="D4" s="6">
        <v>34</v>
      </c>
      <c r="E4" s="6">
        <v>20</v>
      </c>
    </row>
    <row r="5" spans="2:5" x14ac:dyDescent="0.3">
      <c r="B5" s="39"/>
      <c r="C5" s="6">
        <v>155</v>
      </c>
      <c r="D5" s="6">
        <v>40</v>
      </c>
      <c r="E5" s="6">
        <v>70</v>
      </c>
    </row>
    <row r="6" spans="2:5" x14ac:dyDescent="0.3">
      <c r="B6" s="39"/>
      <c r="C6" s="6">
        <v>74</v>
      </c>
      <c r="D6" s="6">
        <v>80</v>
      </c>
      <c r="E6" s="6">
        <v>82</v>
      </c>
    </row>
    <row r="7" spans="2:5" x14ac:dyDescent="0.3">
      <c r="B7" s="39"/>
      <c r="C7" s="6">
        <v>180</v>
      </c>
      <c r="D7" s="6">
        <v>75</v>
      </c>
      <c r="E7" s="6">
        <v>58</v>
      </c>
    </row>
    <row r="8" spans="2:5" x14ac:dyDescent="0.3">
      <c r="B8" s="39">
        <v>2</v>
      </c>
      <c r="C8" s="6">
        <v>150</v>
      </c>
      <c r="D8" s="6">
        <v>136</v>
      </c>
      <c r="E8" s="6">
        <v>25</v>
      </c>
    </row>
    <row r="9" spans="2:5" x14ac:dyDescent="0.3">
      <c r="B9" s="39"/>
      <c r="C9" s="6">
        <v>188</v>
      </c>
      <c r="D9" s="6">
        <v>122</v>
      </c>
      <c r="E9" s="6">
        <v>70</v>
      </c>
    </row>
    <row r="10" spans="2:5" x14ac:dyDescent="0.3">
      <c r="B10" s="39"/>
      <c r="C10" s="6">
        <v>159</v>
      </c>
      <c r="D10" s="6">
        <v>106</v>
      </c>
      <c r="E10" s="6">
        <v>58</v>
      </c>
    </row>
    <row r="11" spans="2:5" x14ac:dyDescent="0.3">
      <c r="B11" s="39"/>
      <c r="C11" s="6">
        <v>126</v>
      </c>
      <c r="D11" s="6">
        <v>115</v>
      </c>
      <c r="E11" s="6">
        <v>45</v>
      </c>
    </row>
    <row r="12" spans="2:5" x14ac:dyDescent="0.3">
      <c r="B12" s="39">
        <v>3</v>
      </c>
      <c r="C12" s="6">
        <v>138</v>
      </c>
      <c r="D12" s="6">
        <v>174</v>
      </c>
      <c r="E12" s="6">
        <v>96</v>
      </c>
    </row>
    <row r="13" spans="2:5" x14ac:dyDescent="0.3">
      <c r="B13" s="39"/>
      <c r="C13" s="6">
        <v>110</v>
      </c>
      <c r="D13" s="6">
        <v>120</v>
      </c>
      <c r="E13" s="6">
        <v>104</v>
      </c>
    </row>
    <row r="14" spans="2:5" x14ac:dyDescent="0.3">
      <c r="B14" s="39"/>
      <c r="C14" s="6">
        <v>168</v>
      </c>
      <c r="D14" s="6">
        <v>150</v>
      </c>
      <c r="E14" s="6">
        <v>82</v>
      </c>
    </row>
    <row r="15" spans="2:5" x14ac:dyDescent="0.3">
      <c r="B15" s="39"/>
      <c r="C15" s="6">
        <v>160</v>
      </c>
      <c r="D15" s="6">
        <v>139</v>
      </c>
      <c r="E15" s="6">
        <v>60</v>
      </c>
    </row>
    <row r="17" spans="2:6" x14ac:dyDescent="0.3">
      <c r="B17" t="s">
        <v>25</v>
      </c>
    </row>
    <row r="19" spans="2:6" x14ac:dyDescent="0.3">
      <c r="B19" t="s">
        <v>6</v>
      </c>
      <c r="C19">
        <v>-10</v>
      </c>
      <c r="D19">
        <v>20</v>
      </c>
      <c r="E19">
        <v>50</v>
      </c>
      <c r="F19" t="s">
        <v>22</v>
      </c>
    </row>
    <row r="20" spans="2:6" ht="15" thickBot="1" x14ac:dyDescent="0.35">
      <c r="B20" s="8">
        <v>1</v>
      </c>
      <c r="C20" s="8"/>
      <c r="D20" s="8"/>
      <c r="E20" s="8"/>
      <c r="F20" s="8"/>
    </row>
    <row r="21" spans="2:6" x14ac:dyDescent="0.3">
      <c r="B21" t="s">
        <v>8</v>
      </c>
      <c r="C21">
        <v>4</v>
      </c>
      <c r="D21">
        <v>4</v>
      </c>
      <c r="E21">
        <v>4</v>
      </c>
      <c r="F21">
        <v>12</v>
      </c>
    </row>
    <row r="22" spans="2:6" x14ac:dyDescent="0.3">
      <c r="B22" t="s">
        <v>9</v>
      </c>
      <c r="C22">
        <v>539</v>
      </c>
      <c r="D22">
        <v>229</v>
      </c>
      <c r="E22">
        <v>230</v>
      </c>
      <c r="F22">
        <v>998</v>
      </c>
    </row>
    <row r="23" spans="2:6" x14ac:dyDescent="0.3">
      <c r="B23" t="s">
        <v>10</v>
      </c>
      <c r="C23">
        <v>134.75</v>
      </c>
      <c r="D23">
        <v>57.25</v>
      </c>
      <c r="E23">
        <v>57.5</v>
      </c>
      <c r="F23">
        <v>83.166666666666671</v>
      </c>
    </row>
    <row r="24" spans="2:6" x14ac:dyDescent="0.3">
      <c r="B24" t="s">
        <v>11</v>
      </c>
      <c r="C24">
        <v>2056.9166666666665</v>
      </c>
      <c r="D24">
        <v>556.91666666666663</v>
      </c>
      <c r="E24">
        <v>721</v>
      </c>
      <c r="F24">
        <v>2360.8787878787884</v>
      </c>
    </row>
    <row r="26" spans="2:6" ht="15" thickBot="1" x14ac:dyDescent="0.35">
      <c r="B26" s="8">
        <v>2</v>
      </c>
      <c r="C26" s="8"/>
      <c r="D26" s="8"/>
      <c r="E26" s="8"/>
      <c r="F26" s="8"/>
    </row>
    <row r="27" spans="2:6" x14ac:dyDescent="0.3">
      <c r="B27" t="s">
        <v>8</v>
      </c>
      <c r="C27">
        <v>4</v>
      </c>
      <c r="D27">
        <v>4</v>
      </c>
      <c r="E27">
        <v>4</v>
      </c>
      <c r="F27">
        <v>12</v>
      </c>
    </row>
    <row r="28" spans="2:6" x14ac:dyDescent="0.3">
      <c r="B28" t="s">
        <v>9</v>
      </c>
      <c r="C28">
        <v>623</v>
      </c>
      <c r="D28">
        <v>479</v>
      </c>
      <c r="E28">
        <v>198</v>
      </c>
      <c r="F28">
        <v>1300</v>
      </c>
    </row>
    <row r="29" spans="2:6" x14ac:dyDescent="0.3">
      <c r="B29" t="s">
        <v>10</v>
      </c>
      <c r="C29">
        <v>155.75</v>
      </c>
      <c r="D29">
        <v>119.75</v>
      </c>
      <c r="E29">
        <v>49.5</v>
      </c>
      <c r="F29">
        <v>108.33333333333333</v>
      </c>
    </row>
    <row r="30" spans="2:6" x14ac:dyDescent="0.3">
      <c r="B30" t="s">
        <v>11</v>
      </c>
      <c r="C30">
        <v>656.25</v>
      </c>
      <c r="D30">
        <v>160.25</v>
      </c>
      <c r="E30">
        <v>371</v>
      </c>
      <c r="F30">
        <v>2447.5151515151506</v>
      </c>
    </row>
    <row r="32" spans="2:6" ht="15" thickBot="1" x14ac:dyDescent="0.35">
      <c r="B32" s="8">
        <v>3</v>
      </c>
      <c r="C32" s="8"/>
      <c r="D32" s="8"/>
      <c r="E32" s="8"/>
      <c r="F32" s="8"/>
    </row>
    <row r="33" spans="2:8" x14ac:dyDescent="0.3">
      <c r="B33" t="s">
        <v>8</v>
      </c>
      <c r="C33">
        <v>4</v>
      </c>
      <c r="D33">
        <v>4</v>
      </c>
      <c r="E33">
        <v>4</v>
      </c>
      <c r="F33">
        <v>12</v>
      </c>
    </row>
    <row r="34" spans="2:8" x14ac:dyDescent="0.3">
      <c r="B34" t="s">
        <v>9</v>
      </c>
      <c r="C34">
        <v>576</v>
      </c>
      <c r="D34">
        <v>583</v>
      </c>
      <c r="E34">
        <v>342</v>
      </c>
      <c r="F34">
        <v>1501</v>
      </c>
    </row>
    <row r="35" spans="2:8" x14ac:dyDescent="0.3">
      <c r="B35" t="s">
        <v>10</v>
      </c>
      <c r="C35">
        <v>144</v>
      </c>
      <c r="D35">
        <v>145.75</v>
      </c>
      <c r="E35">
        <v>85.5</v>
      </c>
      <c r="F35">
        <v>125.08333333333333</v>
      </c>
    </row>
    <row r="36" spans="2:8" x14ac:dyDescent="0.3">
      <c r="B36" t="s">
        <v>11</v>
      </c>
      <c r="C36">
        <v>674.66666666666663</v>
      </c>
      <c r="D36">
        <v>508.25</v>
      </c>
      <c r="E36">
        <v>371.66666666666669</v>
      </c>
      <c r="F36">
        <v>1279.1742424242416</v>
      </c>
    </row>
    <row r="38" spans="2:8" ht="15" thickBot="1" x14ac:dyDescent="0.35">
      <c r="B38" s="8" t="s">
        <v>22</v>
      </c>
      <c r="C38" s="8"/>
      <c r="D38" s="8"/>
      <c r="E38" s="8"/>
      <c r="F38" s="8"/>
    </row>
    <row r="39" spans="2:8" x14ac:dyDescent="0.3">
      <c r="B39" t="s">
        <v>8</v>
      </c>
      <c r="C39">
        <v>12</v>
      </c>
      <c r="D39">
        <v>12</v>
      </c>
      <c r="E39">
        <v>12</v>
      </c>
    </row>
    <row r="40" spans="2:8" x14ac:dyDescent="0.3">
      <c r="B40" t="s">
        <v>9</v>
      </c>
      <c r="C40">
        <v>1738</v>
      </c>
      <c r="D40">
        <v>1291</v>
      </c>
      <c r="E40">
        <v>770</v>
      </c>
    </row>
    <row r="41" spans="2:8" x14ac:dyDescent="0.3">
      <c r="B41" t="s">
        <v>10</v>
      </c>
      <c r="C41">
        <v>144.83333333333334</v>
      </c>
      <c r="D41">
        <v>107.58333333333333</v>
      </c>
      <c r="E41">
        <v>64.166666666666671</v>
      </c>
    </row>
    <row r="42" spans="2:8" x14ac:dyDescent="0.3">
      <c r="B42" t="s">
        <v>11</v>
      </c>
      <c r="C42">
        <v>1004.5151515151506</v>
      </c>
      <c r="D42">
        <v>1838.9924242424233</v>
      </c>
      <c r="E42">
        <v>659.06060606060589</v>
      </c>
    </row>
    <row r="45" spans="2:8" ht="15" thickBot="1" x14ac:dyDescent="0.35">
      <c r="B45" t="s">
        <v>12</v>
      </c>
    </row>
    <row r="46" spans="2:8" x14ac:dyDescent="0.3">
      <c r="B46" s="4" t="s">
        <v>13</v>
      </c>
      <c r="C46" s="4" t="s">
        <v>14</v>
      </c>
      <c r="D46" s="4" t="s">
        <v>15</v>
      </c>
      <c r="E46" s="4" t="s">
        <v>16</v>
      </c>
      <c r="F46" s="4" t="s">
        <v>17</v>
      </c>
      <c r="G46" s="4" t="s">
        <v>18</v>
      </c>
      <c r="H46" s="4" t="s">
        <v>19</v>
      </c>
    </row>
    <row r="47" spans="2:8" x14ac:dyDescent="0.3">
      <c r="B47" t="s">
        <v>26</v>
      </c>
      <c r="C47">
        <v>10683.722222222219</v>
      </c>
      <c r="D47">
        <v>2</v>
      </c>
      <c r="E47">
        <v>5341.8611111111095</v>
      </c>
      <c r="F47">
        <v>7.9113722693800286</v>
      </c>
      <c r="G47">
        <v>1.9760825909075305E-3</v>
      </c>
      <c r="H47">
        <v>3.3541308285291991</v>
      </c>
    </row>
    <row r="48" spans="2:8" x14ac:dyDescent="0.3">
      <c r="B48" t="s">
        <v>27</v>
      </c>
      <c r="C48">
        <v>39118.722222222219</v>
      </c>
      <c r="D48">
        <v>2</v>
      </c>
      <c r="E48">
        <v>19559.361111111109</v>
      </c>
      <c r="F48">
        <v>28.967691949042138</v>
      </c>
      <c r="G48">
        <v>1.9085958974332E-7</v>
      </c>
      <c r="H48">
        <v>3.3541308285291991</v>
      </c>
    </row>
    <row r="49" spans="2:8" x14ac:dyDescent="0.3">
      <c r="B49" t="s">
        <v>28</v>
      </c>
      <c r="C49">
        <v>9613.777777777781</v>
      </c>
      <c r="D49">
        <v>4</v>
      </c>
      <c r="E49">
        <v>2403.4444444444453</v>
      </c>
      <c r="F49">
        <v>3.5595354003537993</v>
      </c>
      <c r="G49">
        <v>1.861116818894171E-2</v>
      </c>
      <c r="H49">
        <v>2.727765306033989</v>
      </c>
    </row>
    <row r="50" spans="2:8" x14ac:dyDescent="0.3">
      <c r="B50" t="s">
        <v>29</v>
      </c>
      <c r="C50">
        <v>18230.75</v>
      </c>
      <c r="D50">
        <v>27</v>
      </c>
      <c r="E50">
        <v>675.21296296296293</v>
      </c>
    </row>
    <row r="52" spans="2:8" ht="15" thickBot="1" x14ac:dyDescent="0.35">
      <c r="B52" s="3" t="s">
        <v>22</v>
      </c>
      <c r="C52" s="3">
        <v>77646.972222222219</v>
      </c>
      <c r="D52" s="3">
        <v>35</v>
      </c>
      <c r="E52" s="3"/>
      <c r="F52" s="3"/>
      <c r="G52" s="3"/>
      <c r="H52" s="3"/>
    </row>
  </sheetData>
  <mergeCells count="4">
    <mergeCell ref="C2:E2"/>
    <mergeCell ref="B4:B7"/>
    <mergeCell ref="B8:B11"/>
    <mergeCell ref="B12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5039-7B28-40F4-8CD8-C0308B1CFDE4}">
  <dimension ref="A1:D4"/>
  <sheetViews>
    <sheetView workbookViewId="0">
      <selection activeCell="E8" sqref="E8"/>
    </sheetView>
  </sheetViews>
  <sheetFormatPr defaultRowHeight="14.4" x14ac:dyDescent="0.3"/>
  <sheetData>
    <row r="1" spans="1:4" x14ac:dyDescent="0.3">
      <c r="B1" s="42" t="s">
        <v>24</v>
      </c>
      <c r="C1" s="42"/>
      <c r="D1" s="42"/>
    </row>
    <row r="2" spans="1:4" x14ac:dyDescent="0.3">
      <c r="C2" s="11">
        <v>10</v>
      </c>
      <c r="D2" s="11">
        <v>20</v>
      </c>
    </row>
    <row r="3" spans="1:4" x14ac:dyDescent="0.3">
      <c r="A3" s="41" t="s">
        <v>30</v>
      </c>
      <c r="B3" s="10">
        <v>1000</v>
      </c>
      <c r="C3" s="9"/>
      <c r="D3" s="9"/>
    </row>
    <row r="4" spans="1:4" x14ac:dyDescent="0.3">
      <c r="A4" s="41"/>
      <c r="B4" s="10">
        <v>2000</v>
      </c>
      <c r="C4" s="9"/>
      <c r="D4" s="9"/>
    </row>
  </sheetData>
  <mergeCells count="2">
    <mergeCell ref="A3:A4"/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436D-4A4D-44AB-A29F-50161CF0BF04}">
  <dimension ref="A1:H5"/>
  <sheetViews>
    <sheetView workbookViewId="0">
      <selection activeCell="E6" sqref="E6"/>
    </sheetView>
  </sheetViews>
  <sheetFormatPr defaultRowHeight="14.4" x14ac:dyDescent="0.3"/>
  <sheetData>
    <row r="1" spans="1:8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  <row r="2" spans="1:8" x14ac:dyDescent="0.3">
      <c r="A2" s="2">
        <v>1</v>
      </c>
      <c r="B2" s="1">
        <v>-1</v>
      </c>
      <c r="C2" s="1">
        <v>-1</v>
      </c>
      <c r="D2" s="1">
        <v>1</v>
      </c>
      <c r="E2" s="1">
        <v>-1</v>
      </c>
      <c r="F2" s="1"/>
      <c r="G2" s="1"/>
      <c r="H2" s="1"/>
    </row>
    <row r="3" spans="1:8" x14ac:dyDescent="0.3">
      <c r="A3" s="2">
        <v>2</v>
      </c>
      <c r="B3" s="1">
        <v>1</v>
      </c>
      <c r="C3" s="1">
        <v>-1</v>
      </c>
      <c r="D3" s="1">
        <v>-1</v>
      </c>
      <c r="E3" s="1" t="s">
        <v>39</v>
      </c>
      <c r="F3" s="1"/>
      <c r="G3" s="1"/>
      <c r="H3" s="1"/>
    </row>
    <row r="4" spans="1:8" x14ac:dyDescent="0.3">
      <c r="A4" s="2">
        <v>3</v>
      </c>
      <c r="B4" s="1">
        <v>-1</v>
      </c>
      <c r="C4" s="1">
        <v>1</v>
      </c>
      <c r="D4" s="1">
        <v>-1</v>
      </c>
      <c r="E4" s="1" t="s">
        <v>40</v>
      </c>
      <c r="F4" s="1"/>
      <c r="G4" s="1"/>
      <c r="H4" s="1"/>
    </row>
    <row r="5" spans="1:8" x14ac:dyDescent="0.3">
      <c r="A5" s="2">
        <v>4</v>
      </c>
      <c r="B5" s="1">
        <v>1</v>
      </c>
      <c r="C5" s="1">
        <v>1</v>
      </c>
      <c r="D5" s="1">
        <v>1</v>
      </c>
      <c r="E5" s="1" t="s">
        <v>41</v>
      </c>
      <c r="F5" s="1"/>
      <c r="G5" s="1"/>
      <c r="H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845E-B8E3-4254-8BDB-7B1FB1F14BA0}">
  <dimension ref="A1:O58"/>
  <sheetViews>
    <sheetView workbookViewId="0">
      <selection activeCell="L49" sqref="L49"/>
    </sheetView>
  </sheetViews>
  <sheetFormatPr defaultRowHeight="14.4" x14ac:dyDescent="0.3"/>
  <cols>
    <col min="1" max="6" width="8.88671875" style="16"/>
    <col min="7" max="7" width="10.5546875" style="16" customWidth="1"/>
    <col min="8" max="8" width="38.33203125" style="16" bestFit="1" customWidth="1"/>
    <col min="9" max="9" width="7" style="16" bestFit="1" customWidth="1"/>
    <col min="10" max="10" width="9.33203125" style="16" bestFit="1" customWidth="1"/>
    <col min="11" max="13" width="13.6640625" style="16" bestFit="1" customWidth="1"/>
    <col min="14" max="16384" width="8.88671875" style="16"/>
  </cols>
  <sheetData>
    <row r="1" spans="1:12" ht="15" thickBot="1" x14ac:dyDescent="0.35">
      <c r="A1" s="43" t="s">
        <v>42</v>
      </c>
      <c r="B1" s="43"/>
      <c r="C1" s="43"/>
      <c r="D1" s="43"/>
      <c r="E1" s="43"/>
    </row>
    <row r="2" spans="1:12" ht="16.2" thickBot="1" x14ac:dyDescent="0.35">
      <c r="A2" s="12" t="s">
        <v>0</v>
      </c>
      <c r="B2" s="13" t="s">
        <v>1</v>
      </c>
      <c r="C2" s="13" t="s">
        <v>2</v>
      </c>
      <c r="D2" s="13" t="s">
        <v>1</v>
      </c>
      <c r="E2" s="13" t="s">
        <v>0</v>
      </c>
      <c r="H2" s="19" t="s">
        <v>3</v>
      </c>
      <c r="I2" s="19" t="s">
        <v>2</v>
      </c>
      <c r="J2" s="19" t="s">
        <v>4</v>
      </c>
      <c r="K2" s="19" t="s">
        <v>0</v>
      </c>
      <c r="L2" s="19" t="s">
        <v>1</v>
      </c>
    </row>
    <row r="3" spans="1:12" ht="16.2" thickBot="1" x14ac:dyDescent="0.35">
      <c r="A3" s="14">
        <v>20</v>
      </c>
      <c r="B3" s="15">
        <v>17</v>
      </c>
      <c r="C3" s="15">
        <v>21</v>
      </c>
      <c r="D3" s="15">
        <v>16</v>
      </c>
      <c r="E3" s="15">
        <v>15</v>
      </c>
      <c r="H3" s="18">
        <v>8</v>
      </c>
      <c r="I3" s="18">
        <v>21</v>
      </c>
      <c r="J3" s="18">
        <v>17</v>
      </c>
      <c r="K3" s="18">
        <v>15</v>
      </c>
      <c r="L3" s="18">
        <v>17</v>
      </c>
    </row>
    <row r="4" spans="1:12" ht="16.2" thickBot="1" x14ac:dyDescent="0.35">
      <c r="A4" s="14" t="s">
        <v>3</v>
      </c>
      <c r="B4" s="15" t="s">
        <v>4</v>
      </c>
      <c r="C4" s="15" t="s">
        <v>3</v>
      </c>
      <c r="D4" s="15" t="s">
        <v>0</v>
      </c>
      <c r="E4" s="15" t="s">
        <v>2</v>
      </c>
      <c r="H4" s="1">
        <v>9</v>
      </c>
      <c r="I4" s="1">
        <v>17</v>
      </c>
      <c r="J4" s="1">
        <v>18</v>
      </c>
      <c r="K4" s="1">
        <v>13</v>
      </c>
      <c r="L4" s="1">
        <v>18</v>
      </c>
    </row>
    <row r="5" spans="1:12" ht="16.2" thickBot="1" x14ac:dyDescent="0.35">
      <c r="A5" s="14">
        <v>8</v>
      </c>
      <c r="B5" s="15">
        <v>17</v>
      </c>
      <c r="C5" s="15">
        <v>9</v>
      </c>
      <c r="D5" s="15">
        <v>13</v>
      </c>
      <c r="E5" s="15">
        <v>17</v>
      </c>
      <c r="H5" s="18">
        <v>15</v>
      </c>
      <c r="I5" s="18">
        <v>12</v>
      </c>
      <c r="J5" s="18">
        <v>16</v>
      </c>
      <c r="K5" s="18">
        <v>19</v>
      </c>
      <c r="L5" s="18">
        <v>18</v>
      </c>
    </row>
    <row r="6" spans="1:12" ht="16.2" thickBot="1" x14ac:dyDescent="0.35">
      <c r="A6" s="14" t="s">
        <v>2</v>
      </c>
      <c r="B6" s="15" t="s">
        <v>0</v>
      </c>
      <c r="C6" s="15" t="s">
        <v>1</v>
      </c>
      <c r="D6" s="15" t="s">
        <v>4</v>
      </c>
      <c r="E6" s="15" t="s">
        <v>3</v>
      </c>
      <c r="H6" s="18">
        <v>8</v>
      </c>
      <c r="I6" s="18">
        <v>16</v>
      </c>
      <c r="J6" s="18">
        <v>18</v>
      </c>
      <c r="K6" s="18">
        <v>20</v>
      </c>
      <c r="L6" s="18">
        <v>15</v>
      </c>
    </row>
    <row r="7" spans="1:12" ht="16.2" thickBot="1" x14ac:dyDescent="0.35">
      <c r="A7" s="14">
        <v>12</v>
      </c>
      <c r="B7" s="15">
        <v>19</v>
      </c>
      <c r="C7" s="15">
        <v>18</v>
      </c>
      <c r="D7" s="15">
        <v>18</v>
      </c>
      <c r="E7" s="15">
        <v>15</v>
      </c>
      <c r="H7" s="18">
        <v>10</v>
      </c>
      <c r="I7" s="18">
        <v>14</v>
      </c>
      <c r="J7" s="18">
        <v>19</v>
      </c>
      <c r="K7" s="18">
        <v>23</v>
      </c>
      <c r="L7" s="18">
        <v>13</v>
      </c>
    </row>
    <row r="8" spans="1:12" ht="16.2" thickBot="1" x14ac:dyDescent="0.35">
      <c r="A8" s="14" t="s">
        <v>4</v>
      </c>
      <c r="B8" s="15" t="s">
        <v>3</v>
      </c>
      <c r="C8" s="15" t="s">
        <v>4</v>
      </c>
      <c r="D8" s="15" t="s">
        <v>3</v>
      </c>
      <c r="E8" s="15" t="s">
        <v>1</v>
      </c>
      <c r="G8" s="21"/>
    </row>
    <row r="9" spans="1:12" ht="16.2" thickBot="1" x14ac:dyDescent="0.35">
      <c r="A9" s="14">
        <v>16</v>
      </c>
      <c r="B9" s="15">
        <v>8</v>
      </c>
      <c r="C9" s="15">
        <v>18</v>
      </c>
      <c r="D9" s="15">
        <v>10</v>
      </c>
      <c r="E9" s="15">
        <v>15</v>
      </c>
      <c r="G9" s="22"/>
    </row>
    <row r="10" spans="1:12" ht="18.600000000000001" customHeight="1" thickBot="1" x14ac:dyDescent="0.35">
      <c r="A10" s="14" t="s">
        <v>1</v>
      </c>
      <c r="B10" s="15" t="s">
        <v>2</v>
      </c>
      <c r="C10" s="15" t="s">
        <v>0</v>
      </c>
      <c r="D10" s="15" t="s">
        <v>2</v>
      </c>
      <c r="E10" s="15" t="s">
        <v>4</v>
      </c>
      <c r="G10" s="21"/>
    </row>
    <row r="11" spans="1:12" ht="16.2" thickBot="1" x14ac:dyDescent="0.35">
      <c r="A11" s="14">
        <v>13</v>
      </c>
      <c r="B11" s="15">
        <v>16</v>
      </c>
      <c r="C11" s="15">
        <v>23</v>
      </c>
      <c r="D11" s="15">
        <v>14</v>
      </c>
      <c r="E11" s="15">
        <v>19</v>
      </c>
      <c r="H11" s="23" t="s">
        <v>5</v>
      </c>
    </row>
    <row r="13" spans="1:12" x14ac:dyDescent="0.3">
      <c r="H13" s="2" t="s">
        <v>6</v>
      </c>
      <c r="I13" s="2"/>
      <c r="J13" s="2"/>
      <c r="K13" s="2"/>
      <c r="L13" s="2"/>
    </row>
    <row r="14" spans="1:12" x14ac:dyDescent="0.3">
      <c r="H14" s="20" t="s">
        <v>7</v>
      </c>
      <c r="I14" s="20" t="s">
        <v>8</v>
      </c>
      <c r="J14" s="20" t="s">
        <v>9</v>
      </c>
      <c r="K14" s="20" t="s">
        <v>10</v>
      </c>
      <c r="L14" s="20" t="s">
        <v>11</v>
      </c>
    </row>
    <row r="15" spans="1:12" x14ac:dyDescent="0.3">
      <c r="H15" s="2" t="s">
        <v>3</v>
      </c>
      <c r="I15" s="1">
        <v>5</v>
      </c>
      <c r="J15" s="1">
        <v>50</v>
      </c>
      <c r="K15" s="1">
        <v>10</v>
      </c>
      <c r="L15" s="1">
        <v>8.5</v>
      </c>
    </row>
    <row r="16" spans="1:12" x14ac:dyDescent="0.3">
      <c r="H16" s="2" t="s">
        <v>2</v>
      </c>
      <c r="I16" s="1">
        <v>5</v>
      </c>
      <c r="J16" s="1">
        <v>80</v>
      </c>
      <c r="K16" s="1">
        <v>16</v>
      </c>
      <c r="L16" s="1">
        <v>11.5</v>
      </c>
    </row>
    <row r="17" spans="8:15" x14ac:dyDescent="0.3">
      <c r="H17" s="2" t="s">
        <v>4</v>
      </c>
      <c r="I17" s="1">
        <v>5</v>
      </c>
      <c r="J17" s="1">
        <v>88</v>
      </c>
      <c r="K17" s="1">
        <v>17.600000000000001</v>
      </c>
      <c r="L17" s="1">
        <v>1.2999999999999998</v>
      </c>
    </row>
    <row r="18" spans="8:15" x14ac:dyDescent="0.3">
      <c r="H18" s="2" t="s">
        <v>0</v>
      </c>
      <c r="I18" s="1">
        <v>5</v>
      </c>
      <c r="J18" s="1">
        <v>90</v>
      </c>
      <c r="K18" s="1">
        <v>18</v>
      </c>
      <c r="L18" s="1">
        <v>16</v>
      </c>
    </row>
    <row r="19" spans="8:15" x14ac:dyDescent="0.3">
      <c r="H19" s="2" t="s">
        <v>1</v>
      </c>
      <c r="I19" s="1">
        <v>5</v>
      </c>
      <c r="J19" s="1">
        <v>81</v>
      </c>
      <c r="K19" s="1">
        <v>16.2</v>
      </c>
      <c r="L19" s="1">
        <v>4.6999999999999886</v>
      </c>
      <c r="N19" s="25" t="s">
        <v>48</v>
      </c>
      <c r="O19" s="25">
        <f>SQRT((2*8.2)/5)</f>
        <v>1.8110770276274832</v>
      </c>
    </row>
    <row r="22" spans="8:15" x14ac:dyDescent="0.3">
      <c r="H22" s="22" t="s">
        <v>12</v>
      </c>
    </row>
    <row r="23" spans="8:15" x14ac:dyDescent="0.3">
      <c r="H23" s="20" t="s">
        <v>13</v>
      </c>
      <c r="I23" s="20" t="s">
        <v>14</v>
      </c>
      <c r="J23" s="20" t="s">
        <v>15</v>
      </c>
      <c r="K23" s="20" t="s">
        <v>16</v>
      </c>
      <c r="L23" s="20" t="s">
        <v>17</v>
      </c>
      <c r="M23" s="20" t="s">
        <v>18</v>
      </c>
      <c r="N23" s="20" t="s">
        <v>19</v>
      </c>
    </row>
    <row r="24" spans="8:15" x14ac:dyDescent="0.3">
      <c r="H24" s="2" t="s">
        <v>20</v>
      </c>
      <c r="I24" s="1">
        <v>208.16000000000003</v>
      </c>
      <c r="J24" s="1">
        <v>4</v>
      </c>
      <c r="K24" s="1">
        <v>52.040000000000006</v>
      </c>
      <c r="L24" s="24">
        <v>6.1952380952380954</v>
      </c>
      <c r="M24" s="24">
        <v>2.0631630891069733E-3</v>
      </c>
      <c r="N24" s="24">
        <v>2.8660814020156589</v>
      </c>
    </row>
    <row r="25" spans="8:15" x14ac:dyDescent="0.3">
      <c r="H25" s="2" t="s">
        <v>21</v>
      </c>
      <c r="I25" s="1">
        <v>168</v>
      </c>
      <c r="J25" s="1">
        <v>20</v>
      </c>
      <c r="K25" s="1">
        <v>8.4</v>
      </c>
      <c r="L25" s="1"/>
      <c r="M25" s="1"/>
      <c r="N25" s="1"/>
    </row>
    <row r="27" spans="8:15" ht="15" thickBot="1" x14ac:dyDescent="0.35">
      <c r="H27" s="2" t="s">
        <v>22</v>
      </c>
      <c r="I27" s="1">
        <v>376.16</v>
      </c>
      <c r="J27" s="1">
        <v>24</v>
      </c>
      <c r="K27" s="17"/>
      <c r="L27" s="17"/>
      <c r="M27" s="17"/>
      <c r="N27" s="17"/>
    </row>
    <row r="30" spans="8:15" x14ac:dyDescent="0.3">
      <c r="H30" s="2" t="s">
        <v>43</v>
      </c>
    </row>
    <row r="31" spans="8:15" x14ac:dyDescent="0.3">
      <c r="H31" s="1" t="s">
        <v>44</v>
      </c>
    </row>
    <row r="32" spans="8:15" x14ac:dyDescent="0.3">
      <c r="H32" s="1" t="s">
        <v>45</v>
      </c>
    </row>
    <row r="33" spans="8:12" x14ac:dyDescent="0.3">
      <c r="H33" s="1"/>
    </row>
    <row r="34" spans="8:12" x14ac:dyDescent="0.3">
      <c r="H34" s="1" t="s">
        <v>46</v>
      </c>
    </row>
    <row r="35" spans="8:12" x14ac:dyDescent="0.3">
      <c r="H35" s="1" t="s">
        <v>47</v>
      </c>
    </row>
    <row r="37" spans="8:12" x14ac:dyDescent="0.3">
      <c r="H37" s="22" t="s">
        <v>49</v>
      </c>
    </row>
    <row r="38" spans="8:12" x14ac:dyDescent="0.3">
      <c r="H38" s="7" t="s">
        <v>50</v>
      </c>
      <c r="I38" s="2" t="s">
        <v>51</v>
      </c>
      <c r="J38" s="2" t="s">
        <v>52</v>
      </c>
      <c r="K38" s="2" t="s">
        <v>53</v>
      </c>
      <c r="L38" s="2" t="s">
        <v>54</v>
      </c>
    </row>
    <row r="39" spans="8:12" x14ac:dyDescent="0.3">
      <c r="H39" s="39" t="s">
        <v>3</v>
      </c>
      <c r="I39" s="1" t="s">
        <v>2</v>
      </c>
      <c r="J39" s="1">
        <f>$K$15-$K16</f>
        <v>-6</v>
      </c>
      <c r="K39" s="1">
        <f>$J39/$O$19</f>
        <v>-3.3129457822453965</v>
      </c>
      <c r="L39" s="1" t="str">
        <f>IF(ABS(K39)&gt;2.086,"REJECT","ACCEPT")</f>
        <v>REJECT</v>
      </c>
    </row>
    <row r="40" spans="8:12" x14ac:dyDescent="0.3">
      <c r="H40" s="39"/>
      <c r="I40" s="1" t="s">
        <v>4</v>
      </c>
      <c r="J40" s="1">
        <f t="shared" ref="J40:J42" si="0">$K$15-$K17</f>
        <v>-7.6000000000000014</v>
      </c>
      <c r="K40" s="1">
        <f t="shared" ref="K40:K58" si="1">$J40/$O$19</f>
        <v>-4.1963979908441695</v>
      </c>
      <c r="L40" s="1" t="str">
        <f t="shared" ref="L40:L58" si="2">IF(ABS(K40)&gt;2.086,"REJECT","ACCEPT")</f>
        <v>REJECT</v>
      </c>
    </row>
    <row r="41" spans="8:12" x14ac:dyDescent="0.3">
      <c r="H41" s="39"/>
      <c r="I41" s="1" t="s">
        <v>0</v>
      </c>
      <c r="J41" s="1">
        <f t="shared" si="0"/>
        <v>-8</v>
      </c>
      <c r="K41" s="1">
        <f t="shared" si="1"/>
        <v>-4.4172610429938617</v>
      </c>
      <c r="L41" s="1" t="str">
        <f t="shared" si="2"/>
        <v>REJECT</v>
      </c>
    </row>
    <row r="42" spans="8:12" x14ac:dyDescent="0.3">
      <c r="H42" s="39"/>
      <c r="I42" s="1" t="s">
        <v>1</v>
      </c>
      <c r="J42" s="1">
        <f t="shared" si="0"/>
        <v>-6.1999999999999993</v>
      </c>
      <c r="K42" s="1">
        <f t="shared" si="1"/>
        <v>-3.4233773083202426</v>
      </c>
      <c r="L42" s="1" t="str">
        <f t="shared" si="2"/>
        <v>REJECT</v>
      </c>
    </row>
    <row r="43" spans="8:12" x14ac:dyDescent="0.3">
      <c r="H43" s="39" t="s">
        <v>2</v>
      </c>
      <c r="I43" s="1" t="s">
        <v>3</v>
      </c>
      <c r="J43" s="1">
        <f>$K$16-K15</f>
        <v>6</v>
      </c>
      <c r="K43" s="1">
        <f t="shared" si="1"/>
        <v>3.3129457822453965</v>
      </c>
      <c r="L43" s="1" t="str">
        <f t="shared" si="2"/>
        <v>REJECT</v>
      </c>
    </row>
    <row r="44" spans="8:12" x14ac:dyDescent="0.3">
      <c r="H44" s="39"/>
      <c r="I44" s="1" t="s">
        <v>4</v>
      </c>
      <c r="J44" s="1">
        <f>$K$16-$K17</f>
        <v>-1.6000000000000014</v>
      </c>
      <c r="K44" s="1">
        <f t="shared" si="1"/>
        <v>-0.88345220859877316</v>
      </c>
      <c r="L44" s="1" t="str">
        <f t="shared" si="2"/>
        <v>ACCEPT</v>
      </c>
    </row>
    <row r="45" spans="8:12" x14ac:dyDescent="0.3">
      <c r="H45" s="39"/>
      <c r="I45" s="1" t="s">
        <v>0</v>
      </c>
      <c r="J45" s="1">
        <f t="shared" ref="J45:J46" si="3">$K$16-$K18</f>
        <v>-2</v>
      </c>
      <c r="K45" s="1">
        <f t="shared" si="1"/>
        <v>-1.1043152607484654</v>
      </c>
      <c r="L45" s="1" t="str">
        <f t="shared" si="2"/>
        <v>ACCEPT</v>
      </c>
    </row>
    <row r="46" spans="8:12" x14ac:dyDescent="0.3">
      <c r="H46" s="39"/>
      <c r="I46" s="1" t="s">
        <v>1</v>
      </c>
      <c r="J46" s="1">
        <f t="shared" si="3"/>
        <v>-0.19999999999999929</v>
      </c>
      <c r="K46" s="1">
        <f t="shared" si="1"/>
        <v>-0.11043152607484616</v>
      </c>
      <c r="L46" s="1" t="str">
        <f t="shared" si="2"/>
        <v>ACCEPT</v>
      </c>
    </row>
    <row r="47" spans="8:12" x14ac:dyDescent="0.3">
      <c r="H47" s="39" t="s">
        <v>4</v>
      </c>
      <c r="I47" s="1" t="s">
        <v>3</v>
      </c>
      <c r="J47" s="1">
        <f>$K$17-$K15</f>
        <v>7.6000000000000014</v>
      </c>
      <c r="K47" s="1">
        <f t="shared" si="1"/>
        <v>4.1963979908441695</v>
      </c>
      <c r="L47" s="1" t="str">
        <f t="shared" si="2"/>
        <v>REJECT</v>
      </c>
    </row>
    <row r="48" spans="8:12" x14ac:dyDescent="0.3">
      <c r="H48" s="39"/>
      <c r="I48" s="1" t="s">
        <v>2</v>
      </c>
      <c r="J48" s="1">
        <f>$K$17-$K16</f>
        <v>1.6000000000000014</v>
      </c>
      <c r="K48" s="1">
        <f t="shared" si="1"/>
        <v>0.88345220859877316</v>
      </c>
      <c r="L48" s="1" t="str">
        <f t="shared" si="2"/>
        <v>ACCEPT</v>
      </c>
    </row>
    <row r="49" spans="8:12" x14ac:dyDescent="0.3">
      <c r="H49" s="39"/>
      <c r="I49" s="1" t="s">
        <v>0</v>
      </c>
      <c r="J49" s="1">
        <f>$K$18-$K15</f>
        <v>8</v>
      </c>
      <c r="K49" s="1">
        <f t="shared" si="1"/>
        <v>4.4172610429938617</v>
      </c>
      <c r="L49" s="1" t="str">
        <f t="shared" si="2"/>
        <v>REJECT</v>
      </c>
    </row>
    <row r="50" spans="8:12" x14ac:dyDescent="0.3">
      <c r="H50" s="39"/>
      <c r="I50" s="1" t="s">
        <v>1</v>
      </c>
      <c r="J50" s="1">
        <f>$K$18-$K16</f>
        <v>2</v>
      </c>
      <c r="K50" s="1">
        <f t="shared" si="1"/>
        <v>1.1043152607484654</v>
      </c>
      <c r="L50" s="1" t="str">
        <f t="shared" si="2"/>
        <v>ACCEPT</v>
      </c>
    </row>
    <row r="51" spans="8:12" x14ac:dyDescent="0.3">
      <c r="H51" s="39" t="s">
        <v>0</v>
      </c>
      <c r="I51" s="1" t="s">
        <v>3</v>
      </c>
      <c r="J51" s="1">
        <f>$K$18-$K15</f>
        <v>8</v>
      </c>
      <c r="K51" s="1">
        <f t="shared" si="1"/>
        <v>4.4172610429938617</v>
      </c>
      <c r="L51" s="1" t="str">
        <f t="shared" si="2"/>
        <v>REJECT</v>
      </c>
    </row>
    <row r="52" spans="8:12" x14ac:dyDescent="0.3">
      <c r="H52" s="39"/>
      <c r="I52" s="1" t="s">
        <v>2</v>
      </c>
      <c r="J52" s="1">
        <f t="shared" ref="J52:J53" si="4">$K$18-$K16</f>
        <v>2</v>
      </c>
      <c r="K52" s="1">
        <f t="shared" si="1"/>
        <v>1.1043152607484654</v>
      </c>
      <c r="L52" s="1" t="str">
        <f t="shared" si="2"/>
        <v>ACCEPT</v>
      </c>
    </row>
    <row r="53" spans="8:12" x14ac:dyDescent="0.3">
      <c r="H53" s="39"/>
      <c r="I53" s="1" t="s">
        <v>4</v>
      </c>
      <c r="J53" s="1">
        <f t="shared" si="4"/>
        <v>0.39999999999999858</v>
      </c>
      <c r="K53" s="1">
        <f t="shared" si="1"/>
        <v>0.22086305214969232</v>
      </c>
      <c r="L53" s="1" t="str">
        <f t="shared" si="2"/>
        <v>ACCEPT</v>
      </c>
    </row>
    <row r="54" spans="8:12" x14ac:dyDescent="0.3">
      <c r="H54" s="39"/>
      <c r="I54" s="1" t="s">
        <v>1</v>
      </c>
      <c r="J54" s="1">
        <f>K18-K19</f>
        <v>1.8000000000000007</v>
      </c>
      <c r="K54" s="1">
        <f t="shared" si="1"/>
        <v>0.99388373467361935</v>
      </c>
      <c r="L54" s="1" t="str">
        <f t="shared" si="2"/>
        <v>ACCEPT</v>
      </c>
    </row>
    <row r="55" spans="8:12" x14ac:dyDescent="0.3">
      <c r="H55" s="39" t="s">
        <v>1</v>
      </c>
      <c r="I55" s="1" t="s">
        <v>3</v>
      </c>
      <c r="J55" s="1">
        <f>$K$19-$K15</f>
        <v>6.1999999999999993</v>
      </c>
      <c r="K55" s="1">
        <f t="shared" si="1"/>
        <v>3.4233773083202426</v>
      </c>
      <c r="L55" s="1" t="str">
        <f t="shared" si="2"/>
        <v>REJECT</v>
      </c>
    </row>
    <row r="56" spans="8:12" x14ac:dyDescent="0.3">
      <c r="H56" s="39"/>
      <c r="I56" s="1" t="s">
        <v>2</v>
      </c>
      <c r="J56" s="1">
        <f t="shared" ref="J56:J58" si="5">$K$19-$K16</f>
        <v>0.19999999999999929</v>
      </c>
      <c r="K56" s="1">
        <f t="shared" si="1"/>
        <v>0.11043152607484616</v>
      </c>
      <c r="L56" s="1" t="str">
        <f t="shared" si="2"/>
        <v>ACCEPT</v>
      </c>
    </row>
    <row r="57" spans="8:12" x14ac:dyDescent="0.3">
      <c r="H57" s="39"/>
      <c r="I57" s="1" t="s">
        <v>4</v>
      </c>
      <c r="J57" s="1">
        <f t="shared" si="5"/>
        <v>-1.4000000000000021</v>
      </c>
      <c r="K57" s="1">
        <f t="shared" si="1"/>
        <v>-0.77302068252392697</v>
      </c>
      <c r="L57" s="1" t="str">
        <f t="shared" si="2"/>
        <v>ACCEPT</v>
      </c>
    </row>
    <row r="58" spans="8:12" x14ac:dyDescent="0.3">
      <c r="H58" s="39"/>
      <c r="I58" s="1" t="s">
        <v>0</v>
      </c>
      <c r="J58" s="1">
        <f t="shared" si="5"/>
        <v>-1.8000000000000007</v>
      </c>
      <c r="K58" s="1">
        <f t="shared" si="1"/>
        <v>-0.99388373467361935</v>
      </c>
      <c r="L58" s="1" t="str">
        <f t="shared" si="2"/>
        <v>ACCEPT</v>
      </c>
    </row>
  </sheetData>
  <mergeCells count="6">
    <mergeCell ref="H55:H58"/>
    <mergeCell ref="A1:E1"/>
    <mergeCell ref="H39:H42"/>
    <mergeCell ref="H43:H46"/>
    <mergeCell ref="H47:H50"/>
    <mergeCell ref="H51:H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C8C1-A72C-45AA-9800-20282196B59F}">
  <dimension ref="A1:G32"/>
  <sheetViews>
    <sheetView workbookViewId="0">
      <selection activeCell="F16" sqref="F16"/>
    </sheetView>
  </sheetViews>
  <sheetFormatPr defaultRowHeight="14.4" x14ac:dyDescent="0.3"/>
  <cols>
    <col min="1" max="1" width="22.77734375" bestFit="1" customWidth="1"/>
    <col min="2" max="2" width="20.33203125" bestFit="1" customWidth="1"/>
    <col min="3" max="3" width="19.21875" bestFit="1" customWidth="1"/>
    <col min="4" max="4" width="15.109375" bestFit="1" customWidth="1"/>
  </cols>
  <sheetData>
    <row r="1" spans="1:5" ht="16.2" thickBot="1" x14ac:dyDescent="0.35">
      <c r="A1" s="33" t="s">
        <v>55</v>
      </c>
      <c r="B1" s="34" t="s">
        <v>56</v>
      </c>
      <c r="C1" s="34" t="s">
        <v>57</v>
      </c>
      <c r="D1" s="34" t="s">
        <v>58</v>
      </c>
    </row>
    <row r="2" spans="1:5" ht="16.2" thickBot="1" x14ac:dyDescent="0.35">
      <c r="A2" s="26">
        <v>1.2E-2</v>
      </c>
      <c r="B2" s="27">
        <v>1.0999999999999999E-2</v>
      </c>
      <c r="C2" s="27">
        <v>1.9E-2</v>
      </c>
      <c r="D2" s="27">
        <v>6.0000000000000001E-3</v>
      </c>
    </row>
    <row r="3" spans="1:5" ht="16.2" thickBot="1" x14ac:dyDescent="0.35">
      <c r="A3" s="26">
        <v>1.9E-2</v>
      </c>
      <c r="B3" s="27">
        <v>1.7999999999999999E-2</v>
      </c>
      <c r="C3" s="27">
        <v>2.5999999999999999E-2</v>
      </c>
      <c r="D3" s="27">
        <v>0.02</v>
      </c>
    </row>
    <row r="4" spans="1:5" ht="16.2" thickBot="1" x14ac:dyDescent="0.35">
      <c r="A4" s="26">
        <v>2.8000000000000001E-2</v>
      </c>
      <c r="B4" s="27">
        <v>3.3000000000000002E-2</v>
      </c>
      <c r="C4" s="27">
        <v>8.0000000000000002E-3</v>
      </c>
      <c r="D4" s="27">
        <v>2.8000000000000001E-2</v>
      </c>
    </row>
    <row r="5" spans="1:5" ht="16.2" thickBot="1" x14ac:dyDescent="0.35">
      <c r="A5" s="26">
        <v>1.7000000000000001E-2</v>
      </c>
      <c r="B5" s="27">
        <v>0.03</v>
      </c>
      <c r="C5" s="27">
        <v>3.2000000000000001E-2</v>
      </c>
      <c r="D5" s="27">
        <v>1.2E-2</v>
      </c>
    </row>
    <row r="6" spans="1:5" ht="16.2" thickBot="1" x14ac:dyDescent="0.35">
      <c r="A6" s="26">
        <v>1.7000000000000001E-2</v>
      </c>
      <c r="B6" s="27">
        <v>2.9000000000000001E-2</v>
      </c>
      <c r="C6" s="27">
        <v>1.0999999999999999E-2</v>
      </c>
      <c r="D6" s="27">
        <v>8.9999999999999993E-3</v>
      </c>
    </row>
    <row r="7" spans="1:5" ht="16.2" thickBot="1" x14ac:dyDescent="0.35">
      <c r="A7" s="28"/>
      <c r="B7" s="27">
        <v>2.1999999999999999E-2</v>
      </c>
      <c r="C7" s="27">
        <v>1.7999999999999999E-2</v>
      </c>
      <c r="D7" s="27">
        <v>0.01</v>
      </c>
    </row>
    <row r="8" spans="1:5" ht="16.2" thickBot="1" x14ac:dyDescent="0.35">
      <c r="A8" s="28"/>
      <c r="B8" s="27">
        <v>2.1999999999999999E-2</v>
      </c>
      <c r="C8" s="27">
        <v>1.7999999999999999E-2</v>
      </c>
      <c r="D8" s="27">
        <v>0.01</v>
      </c>
    </row>
    <row r="9" spans="1:5" ht="16.2" thickBot="1" x14ac:dyDescent="0.35">
      <c r="A9" s="28"/>
      <c r="B9" s="27">
        <v>2.9000000000000001E-2</v>
      </c>
      <c r="C9" s="27">
        <v>3.1E-2</v>
      </c>
      <c r="D9" s="27">
        <v>1.4999999999999999E-2</v>
      </c>
    </row>
    <row r="10" spans="1:5" ht="16.2" thickBot="1" x14ac:dyDescent="0.35">
      <c r="A10" s="28"/>
      <c r="B10" s="29"/>
      <c r="C10" s="27">
        <v>1.7999999999999999E-2</v>
      </c>
      <c r="D10" s="29"/>
    </row>
    <row r="12" spans="1:5" x14ac:dyDescent="0.3">
      <c r="A12" s="32" t="s">
        <v>5</v>
      </c>
    </row>
    <row r="14" spans="1:5" ht="15" thickBot="1" x14ac:dyDescent="0.35">
      <c r="A14" s="30" t="s">
        <v>6</v>
      </c>
    </row>
    <row r="15" spans="1:5" x14ac:dyDescent="0.3">
      <c r="A15" s="31" t="s">
        <v>7</v>
      </c>
      <c r="B15" s="31" t="s">
        <v>8</v>
      </c>
      <c r="C15" s="31" t="s">
        <v>9</v>
      </c>
      <c r="D15" s="31" t="s">
        <v>10</v>
      </c>
      <c r="E15" s="31" t="s">
        <v>11</v>
      </c>
    </row>
    <row r="16" spans="1:5" x14ac:dyDescent="0.3">
      <c r="A16" t="s">
        <v>55</v>
      </c>
      <c r="B16">
        <v>5</v>
      </c>
      <c r="C16">
        <v>9.2999999999999999E-2</v>
      </c>
      <c r="D16">
        <v>1.8599999999999998E-2</v>
      </c>
      <c r="E16">
        <v>3.4300000000000021E-5</v>
      </c>
    </row>
    <row r="17" spans="1:7" x14ac:dyDescent="0.3">
      <c r="A17" t="s">
        <v>56</v>
      </c>
      <c r="B17">
        <v>8</v>
      </c>
      <c r="C17">
        <v>0.19399999999999998</v>
      </c>
      <c r="D17">
        <v>2.4249999999999997E-2</v>
      </c>
      <c r="E17">
        <v>5.4214285714285909E-5</v>
      </c>
    </row>
    <row r="18" spans="1:7" x14ac:dyDescent="0.3">
      <c r="A18" t="s">
        <v>57</v>
      </c>
      <c r="B18">
        <v>9</v>
      </c>
      <c r="C18">
        <v>0.18099999999999997</v>
      </c>
      <c r="D18">
        <v>2.0111111111111107E-2</v>
      </c>
      <c r="E18">
        <v>6.7361111111111354E-5</v>
      </c>
    </row>
    <row r="19" spans="1:7" ht="15" thickBot="1" x14ac:dyDescent="0.35">
      <c r="A19" s="3" t="s">
        <v>58</v>
      </c>
      <c r="B19" s="3">
        <v>8</v>
      </c>
      <c r="C19" s="3">
        <v>0.10999999999999999</v>
      </c>
      <c r="D19" s="3">
        <v>1.3749999999999998E-2</v>
      </c>
      <c r="E19" s="3">
        <v>5.107142857142863E-5</v>
      </c>
    </row>
    <row r="22" spans="1:7" ht="15" thickBot="1" x14ac:dyDescent="0.35">
      <c r="A22" s="30" t="s">
        <v>12</v>
      </c>
    </row>
    <row r="23" spans="1:7" x14ac:dyDescent="0.3">
      <c r="A23" s="31" t="s">
        <v>13</v>
      </c>
      <c r="B23" s="31" t="s">
        <v>14</v>
      </c>
      <c r="C23" s="31" t="s">
        <v>15</v>
      </c>
      <c r="D23" s="31" t="s">
        <v>16</v>
      </c>
      <c r="E23" s="31" t="s">
        <v>17</v>
      </c>
      <c r="F23" s="31" t="s">
        <v>18</v>
      </c>
      <c r="G23" s="31" t="s">
        <v>19</v>
      </c>
    </row>
    <row r="24" spans="1:7" x14ac:dyDescent="0.3">
      <c r="A24" t="s">
        <v>20</v>
      </c>
      <c r="B24">
        <v>4.5077777777777781E-4</v>
      </c>
      <c r="C24">
        <v>3</v>
      </c>
      <c r="D24">
        <v>1.5025925925925927E-4</v>
      </c>
      <c r="E24">
        <v>2.7646815224855459</v>
      </c>
      <c r="F24">
        <v>6.2040667547445888E-2</v>
      </c>
      <c r="G24">
        <v>2.9751539639733933</v>
      </c>
    </row>
    <row r="25" spans="1:7" x14ac:dyDescent="0.3">
      <c r="A25" t="s">
        <v>21</v>
      </c>
      <c r="B25">
        <v>1.4130888888888888E-3</v>
      </c>
      <c r="C25">
        <v>26</v>
      </c>
      <c r="D25">
        <v>5.4349572649572642E-5</v>
      </c>
    </row>
    <row r="27" spans="1:7" ht="15" thickBot="1" x14ac:dyDescent="0.35">
      <c r="A27" s="3" t="s">
        <v>22</v>
      </c>
      <c r="B27" s="3">
        <v>1.8638666666666666E-3</v>
      </c>
      <c r="C27" s="3">
        <v>29</v>
      </c>
      <c r="D27" s="3"/>
      <c r="E27" s="3"/>
      <c r="F27" s="3"/>
      <c r="G27" s="3"/>
    </row>
    <row r="29" spans="1:7" x14ac:dyDescent="0.3">
      <c r="A29" t="s">
        <v>59</v>
      </c>
      <c r="B29">
        <v>2.7646815224855459</v>
      </c>
    </row>
    <row r="30" spans="1:7" x14ac:dyDescent="0.3">
      <c r="A30" t="s">
        <v>18</v>
      </c>
      <c r="B30">
        <v>6.2040667547445888E-2</v>
      </c>
    </row>
    <row r="32" spans="1:7" x14ac:dyDescent="0.3">
      <c r="A32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2FC2-1B89-4A48-A06D-4BD309C05A96}">
  <dimension ref="A1:Q32"/>
  <sheetViews>
    <sheetView tabSelected="1" workbookViewId="0">
      <selection activeCell="K13" sqref="K13"/>
    </sheetView>
  </sheetViews>
  <sheetFormatPr defaultRowHeight="14.4" x14ac:dyDescent="0.3"/>
  <cols>
    <col min="2" max="2" width="33.88671875" bestFit="1" customWidth="1"/>
    <col min="7" max="7" width="12" bestFit="1" customWidth="1"/>
    <col min="11" max="11" width="31" bestFit="1" customWidth="1"/>
    <col min="12" max="12" width="12" bestFit="1" customWidth="1"/>
    <col min="14" max="15" width="12" bestFit="1" customWidth="1"/>
  </cols>
  <sheetData>
    <row r="1" spans="1:15" x14ac:dyDescent="0.3">
      <c r="A1" s="38" t="s">
        <v>61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3" spans="1:15" x14ac:dyDescent="0.3">
      <c r="B3" s="35"/>
      <c r="C3" s="36" t="s">
        <v>62</v>
      </c>
      <c r="D3" s="36" t="s">
        <v>63</v>
      </c>
      <c r="E3" s="36" t="s">
        <v>64</v>
      </c>
    </row>
    <row r="4" spans="1:15" x14ac:dyDescent="0.3">
      <c r="B4" s="36" t="s">
        <v>36</v>
      </c>
      <c r="C4" s="37">
        <v>12</v>
      </c>
      <c r="D4" s="37">
        <v>15</v>
      </c>
      <c r="E4" s="37">
        <v>14</v>
      </c>
    </row>
    <row r="5" spans="1:15" x14ac:dyDescent="0.3">
      <c r="B5" s="36" t="s">
        <v>37</v>
      </c>
      <c r="C5" s="37">
        <v>10</v>
      </c>
      <c r="D5" s="37">
        <v>13</v>
      </c>
      <c r="E5" s="37">
        <v>12</v>
      </c>
    </row>
    <row r="6" spans="1:15" x14ac:dyDescent="0.3">
      <c r="B6" s="36" t="s">
        <v>38</v>
      </c>
      <c r="C6" s="37">
        <v>14</v>
      </c>
      <c r="D6" s="37">
        <v>16</v>
      </c>
      <c r="E6" s="37">
        <v>15</v>
      </c>
    </row>
    <row r="7" spans="1:15" x14ac:dyDescent="0.3">
      <c r="B7" s="36" t="s">
        <v>65</v>
      </c>
      <c r="C7" s="37">
        <v>11</v>
      </c>
      <c r="D7" s="37">
        <v>14</v>
      </c>
      <c r="E7" s="37">
        <v>13</v>
      </c>
    </row>
    <row r="9" spans="1:15" x14ac:dyDescent="0.3">
      <c r="B9" t="s">
        <v>66</v>
      </c>
      <c r="K9" t="s">
        <v>25</v>
      </c>
    </row>
    <row r="10" spans="1:15" ht="15" thickBot="1" x14ac:dyDescent="0.35"/>
    <row r="11" spans="1:15" x14ac:dyDescent="0.3">
      <c r="B11" s="4" t="s">
        <v>6</v>
      </c>
      <c r="C11" s="4" t="s">
        <v>8</v>
      </c>
      <c r="D11" s="4" t="s">
        <v>9</v>
      </c>
      <c r="E11" s="4" t="s">
        <v>10</v>
      </c>
      <c r="F11" s="4" t="s">
        <v>11</v>
      </c>
      <c r="K11" t="s">
        <v>6</v>
      </c>
      <c r="L11" t="s">
        <v>62</v>
      </c>
      <c r="M11" t="s">
        <v>63</v>
      </c>
      <c r="N11" t="s">
        <v>64</v>
      </c>
      <c r="O11" t="s">
        <v>22</v>
      </c>
    </row>
    <row r="12" spans="1:15" ht="15" thickBot="1" x14ac:dyDescent="0.35">
      <c r="B12" t="s">
        <v>36</v>
      </c>
      <c r="C12">
        <v>3</v>
      </c>
      <c r="D12">
        <v>41</v>
      </c>
      <c r="E12">
        <v>13.666666666666666</v>
      </c>
      <c r="F12">
        <v>2.3333333333333335</v>
      </c>
      <c r="K12" s="8" t="s">
        <v>36</v>
      </c>
      <c r="L12" s="8"/>
      <c r="M12" s="8"/>
      <c r="N12" s="8"/>
      <c r="O12" s="8"/>
    </row>
    <row r="13" spans="1:15" x14ac:dyDescent="0.3">
      <c r="B13" t="s">
        <v>37</v>
      </c>
      <c r="C13">
        <v>3</v>
      </c>
      <c r="D13">
        <v>35</v>
      </c>
      <c r="E13">
        <v>11.666666666666666</v>
      </c>
      <c r="F13">
        <v>2.3333333333333428</v>
      </c>
      <c r="K13" t="s">
        <v>8</v>
      </c>
      <c r="L13">
        <v>4</v>
      </c>
      <c r="M13">
        <v>4</v>
      </c>
      <c r="N13">
        <v>4</v>
      </c>
      <c r="O13">
        <v>12</v>
      </c>
    </row>
    <row r="14" spans="1:15" x14ac:dyDescent="0.3">
      <c r="B14" t="s">
        <v>38</v>
      </c>
      <c r="C14">
        <v>3</v>
      </c>
      <c r="D14">
        <v>45</v>
      </c>
      <c r="E14">
        <v>15</v>
      </c>
      <c r="F14">
        <v>1</v>
      </c>
      <c r="K14" t="s">
        <v>9</v>
      </c>
      <c r="L14">
        <v>47</v>
      </c>
      <c r="M14">
        <v>58</v>
      </c>
      <c r="N14">
        <v>54</v>
      </c>
      <c r="O14">
        <v>159</v>
      </c>
    </row>
    <row r="15" spans="1:15" x14ac:dyDescent="0.3">
      <c r="B15" t="s">
        <v>65</v>
      </c>
      <c r="C15">
        <v>3</v>
      </c>
      <c r="D15">
        <v>38</v>
      </c>
      <c r="E15">
        <v>12.666666666666666</v>
      </c>
      <c r="F15">
        <v>2.3333333333333335</v>
      </c>
      <c r="K15" t="s">
        <v>10</v>
      </c>
      <c r="L15">
        <v>11.75</v>
      </c>
      <c r="M15">
        <v>14.5</v>
      </c>
      <c r="N15">
        <v>13.5</v>
      </c>
      <c r="O15">
        <v>13.25</v>
      </c>
    </row>
    <row r="16" spans="1:15" x14ac:dyDescent="0.3">
      <c r="K16" t="s">
        <v>11</v>
      </c>
      <c r="L16">
        <v>2.9166666666666665</v>
      </c>
      <c r="M16">
        <v>1.6666666666666667</v>
      </c>
      <c r="N16">
        <v>1.6666666666666667</v>
      </c>
      <c r="O16">
        <v>3.1136363636363638</v>
      </c>
    </row>
    <row r="17" spans="2:17" x14ac:dyDescent="0.3">
      <c r="B17" t="s">
        <v>62</v>
      </c>
      <c r="C17">
        <v>4</v>
      </c>
      <c r="D17">
        <v>47</v>
      </c>
      <c r="E17">
        <v>11.75</v>
      </c>
      <c r="F17">
        <v>2.9166666666666665</v>
      </c>
    </row>
    <row r="18" spans="2:17" ht="15" thickBot="1" x14ac:dyDescent="0.35">
      <c r="B18" t="s">
        <v>63</v>
      </c>
      <c r="C18">
        <v>4</v>
      </c>
      <c r="D18">
        <v>58</v>
      </c>
      <c r="E18">
        <v>14.5</v>
      </c>
      <c r="F18">
        <v>1.6666666666666667</v>
      </c>
      <c r="K18" s="8" t="s">
        <v>22</v>
      </c>
      <c r="L18" s="8"/>
      <c r="M18" s="8"/>
    </row>
    <row r="19" spans="2:17" ht="15" thickBot="1" x14ac:dyDescent="0.35">
      <c r="B19" s="3" t="s">
        <v>64</v>
      </c>
      <c r="C19" s="3">
        <v>4</v>
      </c>
      <c r="D19" s="3">
        <v>54</v>
      </c>
      <c r="E19" s="3">
        <v>13.5</v>
      </c>
      <c r="F19" s="3">
        <v>1.6666666666666667</v>
      </c>
      <c r="K19" t="s">
        <v>8</v>
      </c>
      <c r="L19">
        <v>4</v>
      </c>
      <c r="M19">
        <v>4</v>
      </c>
      <c r="N19">
        <v>4</v>
      </c>
    </row>
    <row r="20" spans="2:17" x14ac:dyDescent="0.3">
      <c r="K20" t="s">
        <v>9</v>
      </c>
      <c r="L20">
        <v>47</v>
      </c>
      <c r="M20">
        <v>58</v>
      </c>
      <c r="N20">
        <v>54</v>
      </c>
    </row>
    <row r="21" spans="2:17" x14ac:dyDescent="0.3">
      <c r="K21" t="s">
        <v>10</v>
      </c>
      <c r="L21">
        <v>11.75</v>
      </c>
      <c r="M21">
        <v>14.5</v>
      </c>
      <c r="N21">
        <v>13.5</v>
      </c>
    </row>
    <row r="22" spans="2:17" ht="15" thickBot="1" x14ac:dyDescent="0.35">
      <c r="B22" t="s">
        <v>12</v>
      </c>
      <c r="K22" t="s">
        <v>11</v>
      </c>
      <c r="L22">
        <v>2.9166666666666665</v>
      </c>
      <c r="M22">
        <v>1.6666666666666667</v>
      </c>
      <c r="N22">
        <v>1.6666666666666667</v>
      </c>
    </row>
    <row r="23" spans="2:17" x14ac:dyDescent="0.3">
      <c r="B23" s="4" t="s">
        <v>13</v>
      </c>
      <c r="C23" s="4" t="s">
        <v>14</v>
      </c>
      <c r="D23" s="4" t="s">
        <v>15</v>
      </c>
      <c r="E23" s="4" t="s">
        <v>16</v>
      </c>
      <c r="F23" s="4" t="s">
        <v>17</v>
      </c>
      <c r="G23" s="4" t="s">
        <v>18</v>
      </c>
      <c r="H23" s="4" t="s">
        <v>19</v>
      </c>
    </row>
    <row r="24" spans="2:17" x14ac:dyDescent="0.3">
      <c r="B24" t="s">
        <v>67</v>
      </c>
      <c r="C24">
        <v>18.25</v>
      </c>
      <c r="D24">
        <v>3</v>
      </c>
      <c r="E24">
        <v>6.083333333333333</v>
      </c>
      <c r="F24">
        <v>73</v>
      </c>
      <c r="G24">
        <v>4.1064429382363356E-5</v>
      </c>
      <c r="H24">
        <v>4.7570626630894131</v>
      </c>
    </row>
    <row r="25" spans="2:17" ht="15" thickBot="1" x14ac:dyDescent="0.35">
      <c r="B25" t="s">
        <v>27</v>
      </c>
      <c r="C25">
        <v>15.5</v>
      </c>
      <c r="D25">
        <v>2</v>
      </c>
      <c r="E25">
        <v>7.75</v>
      </c>
      <c r="F25">
        <v>93</v>
      </c>
      <c r="G25">
        <v>3.0517578125000014E-5</v>
      </c>
      <c r="H25">
        <v>5.1432528497847176</v>
      </c>
      <c r="K25" t="s">
        <v>12</v>
      </c>
    </row>
    <row r="26" spans="2:17" x14ac:dyDescent="0.3">
      <c r="B26" t="s">
        <v>68</v>
      </c>
      <c r="C26">
        <v>0.5</v>
      </c>
      <c r="D26">
        <v>6</v>
      </c>
      <c r="E26">
        <v>8.3333333333333329E-2</v>
      </c>
      <c r="K26" s="4" t="s">
        <v>13</v>
      </c>
      <c r="L26" s="4" t="s">
        <v>14</v>
      </c>
      <c r="M26" s="4" t="s">
        <v>15</v>
      </c>
      <c r="N26" s="4" t="s">
        <v>16</v>
      </c>
      <c r="O26" s="4" t="s">
        <v>17</v>
      </c>
      <c r="P26" s="4" t="s">
        <v>18</v>
      </c>
      <c r="Q26" s="4" t="s">
        <v>19</v>
      </c>
    </row>
    <row r="27" spans="2:17" x14ac:dyDescent="0.3">
      <c r="K27" t="s">
        <v>26</v>
      </c>
      <c r="L27">
        <v>0</v>
      </c>
      <c r="M27">
        <v>0</v>
      </c>
      <c r="N27">
        <v>65535</v>
      </c>
      <c r="O27">
        <v>65535</v>
      </c>
      <c r="P27" t="e">
        <v>#NUM!</v>
      </c>
      <c r="Q27" t="e">
        <v>#NUM!</v>
      </c>
    </row>
    <row r="28" spans="2:17" ht="15" thickBot="1" x14ac:dyDescent="0.35">
      <c r="B28" s="3" t="s">
        <v>22</v>
      </c>
      <c r="C28" s="3">
        <v>34.25</v>
      </c>
      <c r="D28" s="3">
        <v>11</v>
      </c>
      <c r="E28" s="3"/>
      <c r="F28" s="3"/>
      <c r="G28" s="3"/>
      <c r="H28" s="3"/>
      <c r="K28" t="s">
        <v>27</v>
      </c>
      <c r="L28">
        <v>15.5</v>
      </c>
      <c r="M28">
        <v>2</v>
      </c>
      <c r="N28">
        <v>7.75</v>
      </c>
      <c r="O28">
        <v>3.7199999999999998</v>
      </c>
      <c r="P28">
        <v>6.6455837125329237E-2</v>
      </c>
      <c r="Q28">
        <v>4.2564947290937507</v>
      </c>
    </row>
    <row r="29" spans="2:17" x14ac:dyDescent="0.3">
      <c r="K29" t="s">
        <v>28</v>
      </c>
      <c r="L29">
        <v>0</v>
      </c>
      <c r="M29">
        <v>0</v>
      </c>
      <c r="N29">
        <v>65535</v>
      </c>
      <c r="O29">
        <v>65535</v>
      </c>
      <c r="P29" t="e">
        <v>#NUM!</v>
      </c>
      <c r="Q29" t="e">
        <v>#NUM!</v>
      </c>
    </row>
    <row r="30" spans="2:17" x14ac:dyDescent="0.3">
      <c r="K30" t="s">
        <v>29</v>
      </c>
      <c r="L30">
        <v>18.75</v>
      </c>
      <c r="M30">
        <v>9</v>
      </c>
      <c r="N30">
        <v>2.0833333333333335</v>
      </c>
    </row>
    <row r="32" spans="2:17" ht="15" thickBot="1" x14ac:dyDescent="0.35">
      <c r="K32" s="3" t="s">
        <v>22</v>
      </c>
      <c r="L32" s="3">
        <v>34.25</v>
      </c>
      <c r="M32" s="3">
        <v>11</v>
      </c>
      <c r="N32" s="3"/>
      <c r="O32" s="3"/>
      <c r="P32" s="3"/>
      <c r="Q32" s="3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2 Factorial</vt:lpstr>
      <vt:lpstr>Sheet4</vt:lpstr>
      <vt:lpstr>Question1</vt:lpstr>
      <vt:lpstr>QUESTION2</vt:lpstr>
      <vt:lpstr> Two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raj</dc:creator>
  <cp:lastModifiedBy>Ritu raj</cp:lastModifiedBy>
  <dcterms:created xsi:type="dcterms:W3CDTF">2026-04-30T16:52:46Z</dcterms:created>
  <dcterms:modified xsi:type="dcterms:W3CDTF">2026-05-01T14:05:21Z</dcterms:modified>
</cp:coreProperties>
</file>